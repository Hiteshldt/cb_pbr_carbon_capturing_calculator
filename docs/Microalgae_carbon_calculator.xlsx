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b/Downloads/"/>
    </mc:Choice>
  </mc:AlternateContent>
  <xr:revisionPtr revIDLastSave="0" documentId="8_{2C63972A-1022-994E-9A1E-9F79D689AB77}" xr6:coauthVersionLast="47" xr6:coauthVersionMax="47" xr10:uidLastSave="{00000000-0000-0000-0000-000000000000}"/>
  <bookViews>
    <workbookView xWindow="0" yWindow="600" windowWidth="28800" windowHeight="15940" tabRatio="500" xr2:uid="{00000000-000D-0000-FFFF-FFFF00000000}"/>
  </bookViews>
  <sheets>
    <sheet name="Dashboard" sheetId="1" r:id="rId1"/>
    <sheet name="Calculation" sheetId="2" r:id="rId2"/>
    <sheet name="Assumptions" sheetId="3" r:id="rId3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3" i="2" s="1"/>
  <c r="C45" i="2" l="1"/>
  <c r="C44" i="2"/>
  <c r="C36" i="2"/>
  <c r="C25" i="2"/>
  <c r="C32" i="2"/>
  <c r="C24" i="2"/>
  <c r="C43" i="2"/>
  <c r="C42" i="2"/>
  <c r="C41" i="2"/>
  <c r="C30" i="2"/>
  <c r="C29" i="2"/>
  <c r="C28" i="2"/>
  <c r="C27" i="2"/>
  <c r="C37" i="2"/>
  <c r="C26" i="2"/>
  <c r="C14" i="2"/>
  <c r="C31" i="2"/>
  <c r="C40" i="2"/>
  <c r="C39" i="2"/>
  <c r="C23" i="2"/>
  <c r="C38" i="2"/>
  <c r="F6" i="1"/>
  <c r="C18" i="2" l="1"/>
  <c r="C16" i="2"/>
  <c r="C15" i="2"/>
  <c r="F8" i="1" s="1"/>
  <c r="F7" i="1"/>
  <c r="C17" i="2" l="1"/>
  <c r="F10" i="1" s="1"/>
  <c r="F9" i="1"/>
  <c r="F11" i="1"/>
  <c r="B15" i="1"/>
</calcChain>
</file>

<file path=xl/sharedStrings.xml><?xml version="1.0" encoding="utf-8"?>
<sst xmlns="http://schemas.openxmlformats.org/spreadsheetml/2006/main" count="75" uniqueCount="68">
  <si>
    <t>Flat-Panel Photobioreactor (PBR) — CO₂ Sequestration Estimation Dashboard</t>
  </si>
  <si>
    <t>[ COMPANY LOGO PLACEHOLDER ]</t>
  </si>
  <si>
    <t>Industrial Climate-Tech | Algae Bioprocessing</t>
  </si>
  <si>
    <t>⚙  USER INPUTS</t>
  </si>
  <si>
    <t>📊  ESTIMATED OUTPUTS</t>
  </si>
  <si>
    <t>Optical Density (OD)</t>
  </si>
  <si>
    <t>Capture Factor (kg CO₂ / OD·L·year)</t>
  </si>
  <si>
    <t>PBR Volume (Liters)</t>
  </si>
  <si>
    <t>Yearly CO₂ Capture (kg/year)</t>
  </si>
  <si>
    <t>Operating Days per Year</t>
  </si>
  <si>
    <t>Monthly CO₂ Capture (kg/month)</t>
  </si>
  <si>
    <t>Efficiency Factor (%) [Optional]</t>
  </si>
  <si>
    <t>Daily CO₂ Capture (kg/day)</t>
  </si>
  <si>
    <t>Capture Factor Scenario</t>
  </si>
  <si>
    <t>Standard</t>
  </si>
  <si>
    <t>Daily Biomass Productivity (kg/day)</t>
  </si>
  <si>
    <t>Yearly CO₂ Capture (tons/year)</t>
  </si>
  <si>
    <t>💡  EXECUTIVE SUMMARY</t>
  </si>
  <si>
    <t>✔ Input Validation Active: OD allowed range 0.1 – 10  |  Volume allowed range 10 – 1,000,000 L</t>
  </si>
  <si>
    <t>📈  OD vs Yearly CO₂ Capture</t>
  </si>
  <si>
    <t>📈  Volume vs Yearly CO₂ Capture</t>
  </si>
  <si>
    <t>© Microalgae Climate-Tech Solutions  |  Calculator v1.0  |  Formulas editable — Inputs in green cells</t>
  </si>
  <si>
    <t>All formulas visible and editable. Changes to Dashboard auto-update outputs.</t>
  </si>
  <si>
    <t>1) FACTOR LOOKUP TABLE</t>
  </si>
  <si>
    <t>Scenario</t>
  </si>
  <si>
    <t>Factor (kg CO₂ per OD·L·year)</t>
  </si>
  <si>
    <t>Description</t>
  </si>
  <si>
    <t>Conservative</t>
  </si>
  <si>
    <t>Low-light / suboptimal operations</t>
  </si>
  <si>
    <t>Typical industrial flat-panel PBR</t>
  </si>
  <si>
    <t>Optimized</t>
  </si>
  <si>
    <t>High-light, CO₂-enriched, tuned strain</t>
  </si>
  <si>
    <t>2) CORE CALCULATIONS</t>
  </si>
  <si>
    <t>Selected Capture Factor (kg CO₂/OD·L·yr)</t>
  </si>
  <si>
    <t>Effective Factor (after Efficiency)</t>
  </si>
  <si>
    <t>3) SENSITIVITY TABLES (for charts)</t>
  </si>
  <si>
    <t>OD vs Yearly CO₂ Capture (Volume &amp; Days constant)</t>
  </si>
  <si>
    <t>OD</t>
  </si>
  <si>
    <t>Yearly CO₂ (kg/yr)</t>
  </si>
  <si>
    <t>Volume vs Yearly CO₂ Capture (OD &amp; Days constant)</t>
  </si>
  <si>
    <t>Volume (L)</t>
  </si>
  <si>
    <t>📋  ASSUMPTIONS &amp; METHODOLOGY</t>
  </si>
  <si>
    <t>Engineering approximations used in this calculator</t>
  </si>
  <si>
    <t>Core Equation</t>
  </si>
  <si>
    <t>Yearly CO₂ Capture (kg/year) ≈ OD × Volume (L) × Capture Factor × Efficiency</t>
  </si>
  <si>
    <t>Capture Factor Scenarios</t>
  </si>
  <si>
    <t>• Conservative = 0.18 — Low light intensity, suboptimal mixing, lower productivity strains.</t>
  </si>
  <si>
    <t>• Standard = 0.25 — Typical industrial flat-panel PBR with CO₂ sparging, moderate light.</t>
  </si>
  <si>
    <t>• Optimized = 0.30 — High PAR, CO₂-enriched feed (5-10%), thermophilic/engineered strain, automated pH control.</t>
  </si>
  <si>
    <t>Key Assumptions</t>
  </si>
  <si>
    <t>1. CO₂-to-biomass stoichiometric ratio = 1.83 kg CO₂ per kg dry algal biomass (based on average algal composition C₁.₀H₁.₈O₀.₅N₀.₂).</t>
  </si>
  <si>
    <t>2. OD measured at 680 nm or 750 nm — correlates linearly with cell density in the operating range OD 0.1–10.</t>
  </si>
  <si>
    <t>3. Capture factor expressed as kg CO₂ per (OD · Liter · Year) — empirical engineering approximation.</t>
  </si>
  <si>
    <t>4. Efficiency factor (default 95%) accounts for downtime, harvest losses, evaporation, and non-photosynthetic respiration.</t>
  </si>
  <si>
    <t>5. Operating days/year default = 330 (≈90% uptime including cleaning, maintenance, weather variability for outdoor systems).</t>
  </si>
  <si>
    <t>6. Flat-panel PBR geometry assumed; results may differ by 10–20% for tubular or raceway systems.</t>
  </si>
  <si>
    <t>7. Light source assumed to deliver ≥ 200 µmol photons m⁻² s⁻¹ PAR averaged over photoperiod.</t>
  </si>
  <si>
    <t>Input Validation Ranges</t>
  </si>
  <si>
    <t>• Optical Density (OD): 0.1 – 10.0 — values outside this range will be rejected.</t>
  </si>
  <si>
    <t>• PBR Volume: 10 L – 1,000,000 L — covers lab-scale to industrial deployment.</t>
  </si>
  <si>
    <t>• Operating Days: 1 – 365.</t>
  </si>
  <si>
    <t>• Efficiency Factor: 0% – 100%.</t>
  </si>
  <si>
    <t>References &amp; Notes</t>
  </si>
  <si>
    <t>• Chisti, Y. (2007). Biodiesel from microalgae. Biotechnology Advances, 25(3), 294–306.</t>
  </si>
  <si>
    <t>• Acién Fernández et al. (2012). Production cost of a real microalgae production plant. Biotechnol. Adv., 30(6).</t>
  </si>
  <si>
    <t>• Values are engineering estimates — pilot validation recommended before commercial sizing.</t>
  </si>
  <si>
    <t>MICROALGAE CARBON CAPTURE CALCULATOR</t>
  </si>
  <si>
    <t>CALCULATION ENGINE — Live Linked to Dashboard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</si>
</sst>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22" x14ac:knownFonts="1">
    <font>
      <sz val="11"/>
      <color theme="1"/>
      <name val="Calibri"/>
      <scheme val="minor"/>
    </font>
    <font>
      <i/>
      <sz val="11"/>
      <color rgb="FFFFFFFF"/>
      <name val="Calibri"/>
    </font>
    <font>
      <i/>
      <sz val="9"/>
      <color rgb="FF757575"/>
      <name val="Calibri"/>
    </font>
    <font>
      <i/>
      <sz val="9"/>
      <color rgb="FF4CAF50"/>
      <name val="Calibri"/>
    </font>
    <font>
      <b/>
      <sz val="12"/>
      <color rgb="FFFFFFFF"/>
      <name val="Calibri"/>
    </font>
    <font>
      <b/>
      <sz val="11"/>
      <color rgb="FF1B1B1B"/>
      <name val="Calibri"/>
    </font>
    <font>
      <b/>
      <sz val="12"/>
      <color rgb="FF2E8B57"/>
      <name val="Calibri"/>
    </font>
    <font>
      <b/>
      <sz val="12"/>
      <color rgb="FF1B1B1B"/>
      <name val="Calibri"/>
    </font>
    <font>
      <b/>
      <sz val="14"/>
      <color rgb="FFFFFFFF"/>
      <name val="Calibri"/>
    </font>
    <font>
      <sz val="12"/>
      <color rgb="FF1B1B1B"/>
      <name val="Calibri"/>
    </font>
    <font>
      <i/>
      <sz val="9"/>
      <color rgb="FF2E8B57"/>
      <name val="Calibri"/>
    </font>
    <font>
      <b/>
      <sz val="11"/>
      <color rgb="FFFFFFFF"/>
      <name val="Calibri"/>
    </font>
    <font>
      <i/>
      <sz val="9"/>
      <color rgb="FFFFFFFF"/>
      <name val="Calibri"/>
    </font>
    <font>
      <i/>
      <sz val="10"/>
      <color rgb="FFFFFFFF"/>
      <name val="Calibri"/>
    </font>
    <font>
      <sz val="11"/>
      <color rgb="FF1B1B1B"/>
      <name val="Calibri"/>
    </font>
    <font>
      <b/>
      <sz val="11"/>
      <color rgb="FF2E8B57"/>
      <name val="Calibri"/>
    </font>
    <font>
      <b/>
      <sz val="10"/>
      <color rgb="FFFFFFFF"/>
      <name val="Calibri"/>
    </font>
    <font>
      <sz val="11"/>
      <name val="Calibri"/>
    </font>
    <font>
      <sz val="11"/>
      <color rgb="FF2E8B57"/>
      <name val="Calibri"/>
    </font>
    <font>
      <b/>
      <sz val="20"/>
      <color rgb="FFFFFFFF"/>
      <name val="Calibri"/>
      <family val="2"/>
    </font>
    <font>
      <b/>
      <sz val="12"/>
      <color rgb="FF1B1B1B"/>
      <name val="Calibri"/>
      <family val="2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32"/>
      </patternFill>
    </fill>
    <fill>
      <patternFill patternType="solid">
        <fgColor rgb="FF2E8B57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4CAF5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ck">
        <color rgb="FF2E8B57"/>
      </left>
      <right style="thick">
        <color rgb="FF2E8B57"/>
      </right>
      <top style="thick">
        <color rgb="FF2E8B57"/>
      </top>
      <bottom style="thick">
        <color rgb="FF2E8B57"/>
      </bottom>
      <diagonal/>
    </border>
  </borders>
  <cellStyleXfs count="1">
    <xf numFmtId="0" fontId="0" fillId="0" borderId="1">
      <alignment vertical="top"/>
    </xf>
  </cellStyleXfs>
  <cellXfs count="43">
    <xf numFmtId="0" fontId="0" fillId="0" borderId="1" xfId="0">
      <alignment vertical="top"/>
    </xf>
    <xf numFmtId="0" fontId="5" fillId="5" borderId="2" xfId="0" applyFont="1" applyFill="1" applyBorder="1" applyAlignment="1">
      <alignment horizontal="left" vertical="center" indent="1"/>
    </xf>
    <xf numFmtId="2" fontId="6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4" fontId="8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 indent="1"/>
    </xf>
    <xf numFmtId="2" fontId="14" fillId="6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indent="1"/>
    </xf>
    <xf numFmtId="2" fontId="14" fillId="4" borderId="2" xfId="0" applyNumberFormat="1" applyFont="1" applyFill="1" applyBorder="1" applyAlignment="1">
      <alignment horizontal="center" vertical="center"/>
    </xf>
    <xf numFmtId="2" fontId="15" fillId="6" borderId="2" xfId="0" applyNumberFormat="1" applyFont="1" applyFill="1" applyBorder="1" applyAlignment="1">
      <alignment horizontal="center" vertical="center"/>
    </xf>
    <xf numFmtId="164" fontId="15" fillId="6" borderId="2" xfId="0" applyNumberFormat="1" applyFont="1" applyFill="1" applyBorder="1" applyAlignment="1">
      <alignment horizontal="center" vertical="center"/>
    </xf>
    <xf numFmtId="4" fontId="15" fillId="6" borderId="2" xfId="0" applyNumberFormat="1" applyFont="1" applyFill="1" applyBorder="1" applyAlignment="1">
      <alignment horizontal="center" vertical="center"/>
    </xf>
    <xf numFmtId="165" fontId="15" fillId="6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2" fontId="17" fillId="6" borderId="2" xfId="0" applyNumberFormat="1" applyFont="1" applyFill="1" applyBorder="1" applyAlignment="1">
      <alignment horizontal="center" vertical="center"/>
    </xf>
    <xf numFmtId="3" fontId="18" fillId="6" borderId="2" xfId="0" applyNumberFormat="1" applyFont="1" applyFill="1" applyBorder="1" applyAlignment="1">
      <alignment horizontal="center" vertical="center"/>
    </xf>
    <xf numFmtId="2" fontId="17" fillId="4" borderId="2" xfId="0" applyNumberFormat="1" applyFont="1" applyFill="1" applyBorder="1" applyAlignment="1">
      <alignment horizontal="center" vertical="center"/>
    </xf>
    <xf numFmtId="3" fontId="18" fillId="4" borderId="2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4" borderId="2" xfId="0" applyNumberFormat="1" applyFont="1" applyFill="1" applyBorder="1" applyAlignment="1">
      <alignment horizontal="center" vertical="center"/>
    </xf>
    <xf numFmtId="0" fontId="0" fillId="0" borderId="1" xfId="0">
      <alignment vertical="top"/>
    </xf>
    <xf numFmtId="0" fontId="1" fillId="3" borderId="0" xfId="0" applyFont="1" applyFill="1" applyBorder="1" applyAlignment="1">
      <alignment horizontal="left" vertical="center" indent="2"/>
    </xf>
    <xf numFmtId="0" fontId="2" fillId="4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 indent="1"/>
    </xf>
    <xf numFmtId="0" fontId="9" fillId="5" borderId="3" xfId="0" applyFont="1" applyFill="1" applyBorder="1" applyAlignment="1">
      <alignment horizontal="left" vertical="center" indent="1"/>
    </xf>
    <xf numFmtId="0" fontId="10" fillId="4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 indent="1"/>
    </xf>
    <xf numFmtId="0" fontId="1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 indent="1"/>
    </xf>
    <xf numFmtId="0" fontId="13" fillId="3" borderId="0" xfId="0" applyFont="1" applyFill="1" applyBorder="1" applyAlignment="1">
      <alignment horizontal="left" vertical="center" indent="1"/>
    </xf>
    <xf numFmtId="0" fontId="16" fillId="8" borderId="0" xfId="0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horizontal="left" vertical="center" indent="1"/>
    </xf>
    <xf numFmtId="0" fontId="19" fillId="2" borderId="0" xfId="0" applyFont="1" applyFill="1" applyBorder="1" applyAlignment="1">
      <alignment horizontal="left" vertical="center" indent="2"/>
    </xf>
    <xf numFmtId="2" fontId="6" fillId="9" borderId="3" xfId="0" applyNumberFormat="1" applyFont="1" applyFill="1" applyBorder="1" applyAlignment="1">
      <alignment horizontal="center" vertical="center"/>
    </xf>
    <xf numFmtId="3" fontId="6" fillId="9" borderId="3" xfId="0" applyNumberFormat="1" applyFont="1" applyFill="1" applyBorder="1" applyAlignment="1">
      <alignment horizontal="center" vertical="center"/>
    </xf>
    <xf numFmtId="1" fontId="6" fillId="9" borderId="3" xfId="0" applyNumberFormat="1" applyFont="1" applyFill="1" applyBorder="1" applyAlignment="1">
      <alignment horizontal="center" vertical="center"/>
    </xf>
    <xf numFmtId="10" fontId="6" fillId="9" borderId="3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N" sz="1050" b="0">
                <a:solidFill>
                  <a:srgbClr val="333333"/>
                </a:solidFill>
                <a:latin typeface="Arial"/>
              </a:rPr>
              <a:t>OD vs Yearly CO₂ Capture (kg/year)</a:t>
            </a:r>
            <a:endParaRPr lang="en-IN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Dashboard!$C$22</c:f>
              <c:strCache>
                <c:ptCount val="1"/>
              </c:strCache>
            </c:strRef>
          </c:tx>
          <c:spPr>
            <a:ln w="19050"/>
          </c:spPr>
          <c:marker>
            <c:symbol val="none"/>
          </c:marker>
          <c:cat>
            <c:numRef>
              <c:f>Dashboard!$B$23:$B$32</c:f>
              <c:numCache>
                <c:formatCode>General</c:formatCode>
                <c:ptCount val="10"/>
              </c:numCache>
            </c:numRef>
          </c:cat>
          <c:val>
            <c:numRef>
              <c:f>Dashboard!$C$23:$C$32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6-C54A-BC84-57CC6DB0A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38104"/>
        <c:axId val="96010458"/>
      </c:lineChart>
      <c:catAx>
        <c:axId val="3673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6010458"/>
        <c:crosses val="autoZero"/>
        <c:auto val="1"/>
        <c:lblAlgn val="ctr"/>
        <c:lblOffset val="0"/>
        <c:tickMarkSkip val="1"/>
        <c:noMultiLvlLbl val="1"/>
      </c:catAx>
      <c:valAx>
        <c:axId val="9601045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36738104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N" sz="1050" b="0">
                <a:solidFill>
                  <a:srgbClr val="333333"/>
                </a:solidFill>
                <a:latin typeface="Arial"/>
              </a:rPr>
              <a:t>Volume (L) vs Yearly CO₂ Capture (kg/year)</a:t>
            </a:r>
            <a:endParaRPr lang="en-IN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Dashboard!$C$35:$C$37</c:f>
              <c:strCache>
                <c:ptCount val="3"/>
              </c:strCache>
            </c:strRef>
          </c:tx>
          <c:spPr>
            <a:ln w="19050"/>
          </c:spPr>
          <c:marker>
            <c:symbol val="none"/>
          </c:marker>
          <c:cat>
            <c:strRef>
              <c:f>Dashboard!$B$38:$B$45</c:f>
              <c:strCache>
                <c:ptCount val="1"/>
                <c:pt idx="0">
                  <c:v>© Microalgae Climate-Tech Solutions  |  Calculator v1.0  |  Formulas editable — Inputs in green cells</c:v>
                </c:pt>
              </c:strCache>
            </c:strRef>
          </c:cat>
          <c:val>
            <c:numRef>
              <c:f>Dashboard!$C$38:$C$45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9-064F-AECA-31FA45A87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68151"/>
        <c:axId val="54271410"/>
      </c:lineChart>
      <c:catAx>
        <c:axId val="78768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54271410"/>
        <c:crosses val="autoZero"/>
        <c:auto val="1"/>
        <c:lblAlgn val="ctr"/>
        <c:lblOffset val="0"/>
        <c:tickMarkSkip val="1"/>
        <c:noMultiLvlLbl val="1"/>
      </c:catAx>
      <c:valAx>
        <c:axId val="5427141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876815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152400</xdr:rowOff>
    </xdr:from>
    <xdr:to>
      <xdr:col>3</xdr:col>
      <xdr:colOff>438150</xdr:colOff>
      <xdr:row>37</xdr:row>
      <xdr:rowOff>171450</xdr:rowOff>
    </xdr:to>
    <xdr:graphicFrame macro="">
      <xdr:nvGraphicFramePr>
        <xdr:cNvPr id="2" name="Chart_OD_CO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21</xdr:row>
      <xdr:rowOff>152400</xdr:rowOff>
    </xdr:from>
    <xdr:to>
      <xdr:col>8</xdr:col>
      <xdr:colOff>0</xdr:colOff>
      <xdr:row>37</xdr:row>
      <xdr:rowOff>171450</xdr:rowOff>
    </xdr:to>
    <xdr:graphicFrame macro="">
      <xdr:nvGraphicFramePr>
        <xdr:cNvPr id="3" name="Chart_Vol_CO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70F8-C63F-601B-E588-85ACEF99B068}">
  <dimension ref="B1:F38"/>
  <sheetViews>
    <sheetView tabSelected="1" workbookViewId="0">
      <pane ySplit="3" topLeftCell="A4" activePane="bottomLeft" state="frozen"/>
      <selection pane="bottomLeft" activeCell="N10" sqref="N10"/>
    </sheetView>
  </sheetViews>
  <sheetFormatPr baseColWidth="10" defaultColWidth="8.83203125" defaultRowHeight="15" customHeight="1" x14ac:dyDescent="0.2"/>
  <cols>
    <col min="1" max="1" width="3.5" customWidth="1"/>
    <col min="2" max="2" width="32.83203125" customWidth="1"/>
    <col min="3" max="3" width="25.6640625" customWidth="1"/>
    <col min="4" max="4" width="7.1640625" customWidth="1"/>
    <col min="5" max="5" width="32.83203125" customWidth="1"/>
    <col min="6" max="6" width="25.6640625" customWidth="1"/>
    <col min="7" max="7" width="3.5" customWidth="1"/>
  </cols>
  <sheetData>
    <row r="1" spans="2:6" ht="7.5" customHeight="1" x14ac:dyDescent="0.2"/>
    <row r="2" spans="2:6" ht="37.5" customHeight="1" x14ac:dyDescent="0.2">
      <c r="B2" s="36" t="s">
        <v>66</v>
      </c>
      <c r="C2" s="23"/>
      <c r="D2" s="23"/>
      <c r="E2" s="23"/>
      <c r="F2" s="23"/>
    </row>
    <row r="3" spans="2:6" ht="21" customHeight="1" x14ac:dyDescent="0.2">
      <c r="B3" s="24" t="s">
        <v>0</v>
      </c>
      <c r="C3" s="23"/>
      <c r="D3" s="23"/>
      <c r="E3" s="23"/>
      <c r="F3" s="23"/>
    </row>
    <row r="4" spans="2:6" ht="16.5" customHeight="1" x14ac:dyDescent="0.2">
      <c r="B4" s="25" t="s">
        <v>1</v>
      </c>
      <c r="C4" s="23"/>
      <c r="D4" s="26" t="s">
        <v>2</v>
      </c>
      <c r="E4" s="23"/>
      <c r="F4" s="23"/>
    </row>
    <row r="5" spans="2:6" ht="19.5" customHeight="1" x14ac:dyDescent="0.2">
      <c r="B5" s="27" t="s">
        <v>3</v>
      </c>
      <c r="C5" s="23"/>
      <c r="E5" s="27" t="s">
        <v>4</v>
      </c>
      <c r="F5" s="23"/>
    </row>
    <row r="6" spans="2:6" ht="19.5" customHeight="1" x14ac:dyDescent="0.2">
      <c r="B6" s="1" t="s">
        <v>5</v>
      </c>
      <c r="C6" s="37">
        <v>3</v>
      </c>
      <c r="E6" s="1" t="s">
        <v>6</v>
      </c>
      <c r="F6" s="2">
        <f>Calculation!C12</f>
        <v>0.25</v>
      </c>
    </row>
    <row r="7" spans="2:6" ht="19.5" customHeight="1" x14ac:dyDescent="0.2">
      <c r="B7" s="1" t="s">
        <v>7</v>
      </c>
      <c r="C7" s="38">
        <v>1000</v>
      </c>
      <c r="E7" s="1" t="s">
        <v>8</v>
      </c>
      <c r="F7" s="3">
        <f>Calculation!C14</f>
        <v>712.5</v>
      </c>
    </row>
    <row r="8" spans="2:6" ht="19.5" customHeight="1" x14ac:dyDescent="0.2">
      <c r="B8" s="1" t="s">
        <v>9</v>
      </c>
      <c r="C8" s="39">
        <v>330</v>
      </c>
      <c r="E8" s="1" t="s">
        <v>10</v>
      </c>
      <c r="F8" s="3">
        <f>Calculation!C15</f>
        <v>59.375</v>
      </c>
    </row>
    <row r="9" spans="2:6" ht="19.5" customHeight="1" x14ac:dyDescent="0.2">
      <c r="B9" s="1" t="s">
        <v>11</v>
      </c>
      <c r="C9" s="40">
        <v>0.95</v>
      </c>
      <c r="E9" s="1" t="s">
        <v>12</v>
      </c>
      <c r="F9" s="4">
        <f>Calculation!C16</f>
        <v>2.1590909090909092</v>
      </c>
    </row>
    <row r="10" spans="2:6" ht="19.5" customHeight="1" x14ac:dyDescent="0.2">
      <c r="B10" s="1" t="s">
        <v>13</v>
      </c>
      <c r="C10" s="41" t="s">
        <v>14</v>
      </c>
      <c r="E10" s="1" t="s">
        <v>15</v>
      </c>
      <c r="F10" s="4">
        <f>Calculation!C17</f>
        <v>1.1798310978638848</v>
      </c>
    </row>
    <row r="11" spans="2:6" ht="19.5" customHeight="1" x14ac:dyDescent="0.2">
      <c r="E11" s="5" t="s">
        <v>16</v>
      </c>
      <c r="F11" s="6">
        <f>Calculation!C18</f>
        <v>0.71250000000000002</v>
      </c>
    </row>
    <row r="12" spans="2:6" ht="19.5" customHeight="1" x14ac:dyDescent="0.2"/>
    <row r="13" spans="2:6" ht="19.5" customHeight="1" x14ac:dyDescent="0.2"/>
    <row r="14" spans="2:6" ht="19.5" customHeight="1" x14ac:dyDescent="0.2">
      <c r="B14" s="27" t="s">
        <v>17</v>
      </c>
      <c r="C14" s="23"/>
      <c r="D14" s="23"/>
      <c r="E14" s="23"/>
      <c r="F14" s="23"/>
    </row>
    <row r="15" spans="2:6" ht="22.5" customHeight="1" x14ac:dyDescent="0.2">
      <c r="B15" s="28" t="str">
        <f>"This PBR system can capture approximately "&amp;TEXT(Calculation!C18,"#,##0.00")&amp;" tons of CO₂ annually under the selected "&amp;Dashboard!C10&amp;" operating scenario (OD = "&amp;TEXT(C6,"0.00")&amp;", Volume = "&amp;TEXT(C7,"#,##0")&amp;" L, "&amp;TEXT(C8,"0")&amp;" operating days/year)."</f>
        <v>This PBR system can capture approximately 0.71 tons of CO₂ annually under the selected Standard operating scenario (OD = 3.00, Volume = 1,000 L, 330 operating days/year).</v>
      </c>
      <c r="C15" s="23"/>
      <c r="D15" s="23"/>
      <c r="E15" s="23"/>
      <c r="F15" s="23"/>
    </row>
    <row r="16" spans="2:6" ht="22.5" customHeight="1" x14ac:dyDescent="0.2">
      <c r="B16" s="23"/>
      <c r="C16" s="23"/>
      <c r="D16" s="23"/>
      <c r="E16" s="23"/>
      <c r="F16" s="23"/>
    </row>
    <row r="17" spans="2:6" ht="22.5" customHeight="1" x14ac:dyDescent="0.2">
      <c r="B17" s="23"/>
      <c r="C17" s="23"/>
      <c r="D17" s="23"/>
      <c r="E17" s="23"/>
      <c r="F17" s="23"/>
    </row>
    <row r="18" spans="2:6" ht="19.5" customHeight="1" x14ac:dyDescent="0.2"/>
    <row r="19" spans="2:6" ht="19.5" customHeight="1" x14ac:dyDescent="0.2">
      <c r="B19" s="29" t="s">
        <v>18</v>
      </c>
      <c r="C19" s="23"/>
      <c r="D19" s="23"/>
      <c r="E19" s="23"/>
      <c r="F19" s="23"/>
    </row>
    <row r="20" spans="2:6" ht="19.5" customHeight="1" x14ac:dyDescent="0.2"/>
    <row r="21" spans="2:6" ht="19.5" customHeight="1" x14ac:dyDescent="0.2">
      <c r="B21" s="30" t="s">
        <v>19</v>
      </c>
      <c r="C21" s="23"/>
      <c r="E21" s="30" t="s">
        <v>20</v>
      </c>
      <c r="F21" s="23"/>
    </row>
    <row r="22" spans="2:6" ht="19.5" customHeight="1" x14ac:dyDescent="0.2"/>
    <row r="23" spans="2:6" ht="9" customHeight="1" x14ac:dyDescent="0.2"/>
    <row r="38" spans="2:6" ht="16.5" customHeight="1" x14ac:dyDescent="0.2">
      <c r="B38" s="31" t="s">
        <v>21</v>
      </c>
      <c r="C38" s="23"/>
      <c r="D38" s="23"/>
      <c r="E38" s="23"/>
      <c r="F38" s="23"/>
    </row>
  </sheetData>
  <mergeCells count="12">
    <mergeCell ref="B38:F38"/>
    <mergeCell ref="B14:F14"/>
    <mergeCell ref="B15:F17"/>
    <mergeCell ref="B19:F19"/>
    <mergeCell ref="B21:C21"/>
    <mergeCell ref="E21:F21"/>
    <mergeCell ref="B2:F2"/>
    <mergeCell ref="B3:F3"/>
    <mergeCell ref="B4:C4"/>
    <mergeCell ref="D4:F4"/>
    <mergeCell ref="B5:C5"/>
    <mergeCell ref="E5:F5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026B-C998-A3F8-0998-81BD20FC7788}">
  <dimension ref="B1:E45"/>
  <sheetViews>
    <sheetView topLeftCell="A16" workbookViewId="0">
      <selection activeCell="F49" sqref="F49"/>
    </sheetView>
  </sheetViews>
  <sheetFormatPr baseColWidth="10" defaultColWidth="8.83203125" defaultRowHeight="15" customHeight="1" x14ac:dyDescent="0.2"/>
  <cols>
    <col min="1" max="1" width="3.5" customWidth="1"/>
    <col min="2" max="2" width="40" customWidth="1"/>
    <col min="3" max="5" width="24.33203125" customWidth="1"/>
    <col min="6" max="6" width="3.5" customWidth="1"/>
  </cols>
  <sheetData>
    <row r="1" spans="2:5" ht="7.5" customHeight="1" x14ac:dyDescent="0.2"/>
    <row r="2" spans="2:5" ht="27" customHeight="1" x14ac:dyDescent="0.2">
      <c r="B2" s="42" t="s">
        <v>67</v>
      </c>
      <c r="C2" s="23"/>
      <c r="D2" s="23"/>
      <c r="E2" s="23"/>
    </row>
    <row r="3" spans="2:5" ht="16.5" customHeight="1" x14ac:dyDescent="0.2">
      <c r="B3" s="33" t="s">
        <v>22</v>
      </c>
      <c r="C3" s="23"/>
      <c r="D3" s="23"/>
      <c r="E3" s="23"/>
    </row>
    <row r="5" spans="2:5" ht="15" customHeight="1" x14ac:dyDescent="0.2">
      <c r="B5" s="30" t="s">
        <v>23</v>
      </c>
      <c r="C5" s="23"/>
      <c r="D5" s="23"/>
      <c r="E5" s="23"/>
    </row>
    <row r="6" spans="2:5" ht="15" customHeight="1" x14ac:dyDescent="0.2">
      <c r="B6" s="7" t="s">
        <v>24</v>
      </c>
      <c r="C6" s="7" t="s">
        <v>25</v>
      </c>
      <c r="D6" s="7" t="s">
        <v>26</v>
      </c>
    </row>
    <row r="7" spans="2:5" ht="15" customHeight="1" x14ac:dyDescent="0.2">
      <c r="B7" s="8" t="s">
        <v>27</v>
      </c>
      <c r="C7" s="9">
        <v>0.18</v>
      </c>
      <c r="D7" s="8" t="s">
        <v>28</v>
      </c>
    </row>
    <row r="8" spans="2:5" ht="15" customHeight="1" x14ac:dyDescent="0.2">
      <c r="B8" s="10" t="s">
        <v>14</v>
      </c>
      <c r="C8" s="11">
        <v>0.25</v>
      </c>
      <c r="D8" s="10" t="s">
        <v>29</v>
      </c>
    </row>
    <row r="9" spans="2:5" ht="15" customHeight="1" x14ac:dyDescent="0.2">
      <c r="B9" s="8" t="s">
        <v>30</v>
      </c>
      <c r="C9" s="9">
        <v>0.3</v>
      </c>
      <c r="D9" s="8" t="s">
        <v>31</v>
      </c>
    </row>
    <row r="11" spans="2:5" ht="15" customHeight="1" x14ac:dyDescent="0.2">
      <c r="B11" s="30" t="s">
        <v>32</v>
      </c>
      <c r="C11" s="23"/>
      <c r="D11" s="23"/>
      <c r="E11" s="23"/>
    </row>
    <row r="12" spans="2:5" ht="15" customHeight="1" x14ac:dyDescent="0.2">
      <c r="B12" s="1" t="s">
        <v>33</v>
      </c>
      <c r="C12" s="12">
        <f>VLOOKUP(Dashboard!C10,B7:C9,2,FALSE)</f>
        <v>0.25</v>
      </c>
    </row>
    <row r="13" spans="2:5" ht="15" customHeight="1" x14ac:dyDescent="0.2">
      <c r="B13" s="1" t="s">
        <v>34</v>
      </c>
      <c r="C13" s="13">
        <f>C12*Dashboard!C9</f>
        <v>0.23749999999999999</v>
      </c>
    </row>
    <row r="14" spans="2:5" ht="15" customHeight="1" x14ac:dyDescent="0.2">
      <c r="B14" s="1" t="s">
        <v>8</v>
      </c>
      <c r="C14" s="14">
        <f>Dashboard!C6*Dashboard!C7*C13</f>
        <v>712.5</v>
      </c>
    </row>
    <row r="15" spans="2:5" ht="15" customHeight="1" x14ac:dyDescent="0.2">
      <c r="B15" s="1" t="s">
        <v>10</v>
      </c>
      <c r="C15" s="14">
        <f>C14/12</f>
        <v>59.375</v>
      </c>
    </row>
    <row r="16" spans="2:5" ht="15" customHeight="1" x14ac:dyDescent="0.2">
      <c r="B16" s="1" t="s">
        <v>12</v>
      </c>
      <c r="C16" s="15">
        <f>C14/Dashboard!C8</f>
        <v>2.1590909090909092</v>
      </c>
    </row>
    <row r="17" spans="2:5" ht="15" customHeight="1" x14ac:dyDescent="0.2">
      <c r="B17" s="1" t="s">
        <v>15</v>
      </c>
      <c r="C17" s="15">
        <f>C16/1.83</f>
        <v>1.1798310978638848</v>
      </c>
    </row>
    <row r="18" spans="2:5" ht="15" customHeight="1" x14ac:dyDescent="0.2">
      <c r="B18" s="5" t="s">
        <v>16</v>
      </c>
      <c r="C18" s="16">
        <f>C14/1000</f>
        <v>0.71250000000000002</v>
      </c>
    </row>
    <row r="20" spans="2:5" ht="15" customHeight="1" x14ac:dyDescent="0.2">
      <c r="B20" s="30" t="s">
        <v>35</v>
      </c>
      <c r="C20" s="23"/>
      <c r="D20" s="23"/>
      <c r="E20" s="23"/>
    </row>
    <row r="21" spans="2:5" ht="15" customHeight="1" x14ac:dyDescent="0.2">
      <c r="B21" s="34" t="s">
        <v>36</v>
      </c>
      <c r="C21" s="23"/>
      <c r="D21" s="23"/>
      <c r="E21" s="23"/>
    </row>
    <row r="22" spans="2:5" ht="15" customHeight="1" x14ac:dyDescent="0.2">
      <c r="B22" s="7" t="s">
        <v>37</v>
      </c>
      <c r="C22" s="7" t="s">
        <v>38</v>
      </c>
    </row>
    <row r="23" spans="2:5" ht="15" customHeight="1" x14ac:dyDescent="0.2">
      <c r="B23" s="17">
        <v>0.5</v>
      </c>
      <c r="C23" s="18">
        <f>B23*Dashboard!C7*Calculation!C13</f>
        <v>118.75</v>
      </c>
    </row>
    <row r="24" spans="2:5" ht="15" customHeight="1" x14ac:dyDescent="0.2">
      <c r="B24" s="19">
        <v>1</v>
      </c>
      <c r="C24" s="20">
        <f>B24*Dashboard!C7*Calculation!C13</f>
        <v>237.5</v>
      </c>
    </row>
    <row r="25" spans="2:5" ht="15" customHeight="1" x14ac:dyDescent="0.2">
      <c r="B25" s="17">
        <v>1.5</v>
      </c>
      <c r="C25" s="18">
        <f>B25*Dashboard!C7*Calculation!C13</f>
        <v>356.25</v>
      </c>
    </row>
    <row r="26" spans="2:5" ht="15" customHeight="1" x14ac:dyDescent="0.2">
      <c r="B26" s="19">
        <v>2</v>
      </c>
      <c r="C26" s="20">
        <f>B26*Dashboard!C7*Calculation!C13</f>
        <v>475</v>
      </c>
    </row>
    <row r="27" spans="2:5" ht="15" customHeight="1" x14ac:dyDescent="0.2">
      <c r="B27" s="17">
        <v>2.5</v>
      </c>
      <c r="C27" s="18">
        <f>B27*Dashboard!C7*Calculation!C13</f>
        <v>593.75</v>
      </c>
    </row>
    <row r="28" spans="2:5" ht="15" customHeight="1" x14ac:dyDescent="0.2">
      <c r="B28" s="19">
        <v>3</v>
      </c>
      <c r="C28" s="20">
        <f>B28*Dashboard!C7*Calculation!C13</f>
        <v>712.5</v>
      </c>
    </row>
    <row r="29" spans="2:5" ht="15" customHeight="1" x14ac:dyDescent="0.2">
      <c r="B29" s="17">
        <v>4</v>
      </c>
      <c r="C29" s="18">
        <f>B29*Dashboard!C7*Calculation!C13</f>
        <v>950</v>
      </c>
    </row>
    <row r="30" spans="2:5" ht="15" customHeight="1" x14ac:dyDescent="0.2">
      <c r="B30" s="19">
        <v>5</v>
      </c>
      <c r="C30" s="20">
        <f>B30*Dashboard!C7*Calculation!C13</f>
        <v>1187.5</v>
      </c>
    </row>
    <row r="31" spans="2:5" ht="15" customHeight="1" x14ac:dyDescent="0.2">
      <c r="B31" s="17">
        <v>7</v>
      </c>
      <c r="C31" s="18">
        <f>B31*Dashboard!C7*Calculation!C13</f>
        <v>1662.5</v>
      </c>
    </row>
    <row r="32" spans="2:5" ht="15" customHeight="1" x14ac:dyDescent="0.2">
      <c r="B32" s="19">
        <v>10</v>
      </c>
      <c r="C32" s="20">
        <f>B32*Dashboard!C7*Calculation!C13</f>
        <v>2375</v>
      </c>
    </row>
    <row r="34" spans="2:5" ht="15" customHeight="1" x14ac:dyDescent="0.2">
      <c r="B34" s="34" t="s">
        <v>39</v>
      </c>
      <c r="C34" s="23"/>
      <c r="D34" s="23"/>
      <c r="E34" s="23"/>
    </row>
    <row r="35" spans="2:5" ht="15" customHeight="1" x14ac:dyDescent="0.2">
      <c r="B35" s="7" t="s">
        <v>40</v>
      </c>
      <c r="C35" s="7" t="s">
        <v>38</v>
      </c>
    </row>
    <row r="36" spans="2:5" ht="15" customHeight="1" x14ac:dyDescent="0.2">
      <c r="B36" s="21">
        <v>100</v>
      </c>
      <c r="C36" s="18">
        <f>Dashboard!C6*B36*Calculation!C13</f>
        <v>71.25</v>
      </c>
    </row>
    <row r="37" spans="2:5" ht="15" customHeight="1" x14ac:dyDescent="0.2">
      <c r="B37" s="22">
        <v>500</v>
      </c>
      <c r="C37" s="20">
        <f>Dashboard!C6*B37*Calculation!C13</f>
        <v>356.25</v>
      </c>
    </row>
    <row r="38" spans="2:5" ht="15" customHeight="1" x14ac:dyDescent="0.2">
      <c r="B38" s="21">
        <v>1000</v>
      </c>
      <c r="C38" s="18">
        <f>Dashboard!C6*B38*Calculation!C13</f>
        <v>712.5</v>
      </c>
    </row>
    <row r="39" spans="2:5" ht="15" customHeight="1" x14ac:dyDescent="0.2">
      <c r="B39" s="22">
        <v>2500</v>
      </c>
      <c r="C39" s="20">
        <f>Dashboard!C6*B39*Calculation!C13</f>
        <v>1781.25</v>
      </c>
    </row>
    <row r="40" spans="2:5" ht="15" customHeight="1" x14ac:dyDescent="0.2">
      <c r="B40" s="21">
        <v>5000</v>
      </c>
      <c r="C40" s="18">
        <f>Dashboard!C6*B40*Calculation!C13</f>
        <v>3562.5</v>
      </c>
    </row>
    <row r="41" spans="2:5" ht="15" customHeight="1" x14ac:dyDescent="0.2">
      <c r="B41" s="22">
        <v>10000</v>
      </c>
      <c r="C41" s="20">
        <f>Dashboard!C6*B41*Calculation!C13</f>
        <v>7125</v>
      </c>
    </row>
    <row r="42" spans="2:5" ht="15" customHeight="1" x14ac:dyDescent="0.2">
      <c r="B42" s="21">
        <v>25000</v>
      </c>
      <c r="C42" s="18">
        <f>Dashboard!C6*B42*Calculation!C13</f>
        <v>17812.5</v>
      </c>
    </row>
    <row r="43" spans="2:5" ht="15" customHeight="1" x14ac:dyDescent="0.2">
      <c r="B43" s="22">
        <v>50000</v>
      </c>
      <c r="C43" s="20">
        <f>Dashboard!C6*B43*Calculation!C13</f>
        <v>35625</v>
      </c>
    </row>
    <row r="44" spans="2:5" ht="15" customHeight="1" x14ac:dyDescent="0.2">
      <c r="B44" s="21">
        <v>100000</v>
      </c>
      <c r="C44" s="18">
        <f>Dashboard!C6*B44*Calculation!C13</f>
        <v>71250</v>
      </c>
    </row>
    <row r="45" spans="2:5" ht="15" customHeight="1" x14ac:dyDescent="0.2">
      <c r="B45" s="22">
        <v>250000</v>
      </c>
      <c r="C45" s="20">
        <f>Dashboard!C6*B45*Calculation!C13</f>
        <v>178125</v>
      </c>
    </row>
  </sheetData>
  <mergeCells count="7">
    <mergeCell ref="B21:E21"/>
    <mergeCell ref="B34:E34"/>
    <mergeCell ref="B2:E2"/>
    <mergeCell ref="B3:E3"/>
    <mergeCell ref="B5:E5"/>
    <mergeCell ref="B11:E11"/>
    <mergeCell ref="B20:E20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EB58-E271-5D68-7CF8-B4858A7351B8}">
  <dimension ref="B1:C31"/>
  <sheetViews>
    <sheetView workbookViewId="0">
      <selection activeCell="B2" sqref="B2:C2"/>
    </sheetView>
  </sheetViews>
  <sheetFormatPr baseColWidth="10" defaultColWidth="8.83203125" defaultRowHeight="15" customHeight="1" x14ac:dyDescent="0.2"/>
  <cols>
    <col min="1" max="1" width="3.5" customWidth="1"/>
    <col min="2" max="2" width="4.5" customWidth="1"/>
    <col min="3" max="3" width="102.83203125" customWidth="1"/>
    <col min="4" max="4" width="3.5" customWidth="1"/>
  </cols>
  <sheetData>
    <row r="1" spans="2:3" ht="7.5" customHeight="1" x14ac:dyDescent="0.2"/>
    <row r="2" spans="2:3" ht="27" customHeight="1" x14ac:dyDescent="0.2">
      <c r="B2" s="32" t="s">
        <v>41</v>
      </c>
      <c r="C2" s="23"/>
    </row>
    <row r="3" spans="2:3" ht="16.5" customHeight="1" x14ac:dyDescent="0.2">
      <c r="B3" s="33" t="s">
        <v>42</v>
      </c>
      <c r="C3" s="23"/>
    </row>
    <row r="5" spans="2:3" ht="15" customHeight="1" x14ac:dyDescent="0.2">
      <c r="B5" s="30" t="s">
        <v>43</v>
      </c>
      <c r="C5" s="23"/>
    </row>
    <row r="6" spans="2:3" ht="30" customHeight="1" x14ac:dyDescent="0.2">
      <c r="B6" s="35" t="s">
        <v>44</v>
      </c>
      <c r="C6" s="23"/>
    </row>
    <row r="8" spans="2:3" ht="15" customHeight="1" x14ac:dyDescent="0.2">
      <c r="B8" s="30" t="s">
        <v>45</v>
      </c>
      <c r="C8" s="23"/>
    </row>
    <row r="9" spans="2:3" ht="18" customHeight="1" x14ac:dyDescent="0.2">
      <c r="C9" s="8" t="s">
        <v>46</v>
      </c>
    </row>
    <row r="10" spans="2:3" ht="18" customHeight="1" x14ac:dyDescent="0.2">
      <c r="C10" s="10" t="s">
        <v>47</v>
      </c>
    </row>
    <row r="11" spans="2:3" ht="18" customHeight="1" x14ac:dyDescent="0.2">
      <c r="C11" s="8" t="s">
        <v>48</v>
      </c>
    </row>
    <row r="13" spans="2:3" ht="15" customHeight="1" x14ac:dyDescent="0.2">
      <c r="B13" s="30" t="s">
        <v>49</v>
      </c>
      <c r="C13" s="23"/>
    </row>
    <row r="14" spans="2:3" ht="18" customHeight="1" x14ac:dyDescent="0.2">
      <c r="C14" s="10" t="s">
        <v>50</v>
      </c>
    </row>
    <row r="15" spans="2:3" ht="18" customHeight="1" x14ac:dyDescent="0.2">
      <c r="C15" s="8" t="s">
        <v>51</v>
      </c>
    </row>
    <row r="16" spans="2:3" ht="18" customHeight="1" x14ac:dyDescent="0.2">
      <c r="C16" s="10" t="s">
        <v>52</v>
      </c>
    </row>
    <row r="17" spans="2:3" ht="18" customHeight="1" x14ac:dyDescent="0.2">
      <c r="C17" s="8" t="s">
        <v>53</v>
      </c>
    </row>
    <row r="18" spans="2:3" ht="18" customHeight="1" x14ac:dyDescent="0.2">
      <c r="C18" s="10" t="s">
        <v>54</v>
      </c>
    </row>
    <row r="19" spans="2:3" ht="18" customHeight="1" x14ac:dyDescent="0.2">
      <c r="C19" s="8" t="s">
        <v>55</v>
      </c>
    </row>
    <row r="20" spans="2:3" ht="18" customHeight="1" x14ac:dyDescent="0.2">
      <c r="C20" s="10" t="s">
        <v>56</v>
      </c>
    </row>
    <row r="22" spans="2:3" ht="15" customHeight="1" x14ac:dyDescent="0.2">
      <c r="B22" s="30" t="s">
        <v>57</v>
      </c>
      <c r="C22" s="23"/>
    </row>
    <row r="23" spans="2:3" ht="18" customHeight="1" x14ac:dyDescent="0.2">
      <c r="C23" s="8" t="s">
        <v>58</v>
      </c>
    </row>
    <row r="24" spans="2:3" ht="18" customHeight="1" x14ac:dyDescent="0.2">
      <c r="C24" s="10" t="s">
        <v>59</v>
      </c>
    </row>
    <row r="25" spans="2:3" ht="18" customHeight="1" x14ac:dyDescent="0.2">
      <c r="C25" s="8" t="s">
        <v>60</v>
      </c>
    </row>
    <row r="26" spans="2:3" ht="18" customHeight="1" x14ac:dyDescent="0.2">
      <c r="C26" s="10" t="s">
        <v>61</v>
      </c>
    </row>
    <row r="28" spans="2:3" ht="15" customHeight="1" x14ac:dyDescent="0.2">
      <c r="B28" s="30" t="s">
        <v>62</v>
      </c>
      <c r="C28" s="23"/>
    </row>
    <row r="29" spans="2:3" ht="18" customHeight="1" x14ac:dyDescent="0.2">
      <c r="C29" s="8" t="s">
        <v>63</v>
      </c>
    </row>
    <row r="30" spans="2:3" ht="18" customHeight="1" x14ac:dyDescent="0.2">
      <c r="C30" s="10" t="s">
        <v>64</v>
      </c>
    </row>
    <row r="31" spans="2:3" ht="18" customHeight="1" x14ac:dyDescent="0.2">
      <c r="C31" s="8" t="s">
        <v>65</v>
      </c>
    </row>
  </sheetData>
  <mergeCells count="8">
    <mergeCell ref="B13:C13"/>
    <mergeCell ref="B22:C22"/>
    <mergeCell ref="B28:C28"/>
    <mergeCell ref="B2:C2"/>
    <mergeCell ref="B3:C3"/>
    <mergeCell ref="B5:C5"/>
    <mergeCell ref="B6:C6"/>
    <mergeCell ref="B8:C8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Calculation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CTO - Carbelim</cp:lastModifiedBy>
  <dcterms:created xsi:type="dcterms:W3CDTF">2026-05-14T01:40:17Z</dcterms:created>
  <dcterms:modified xsi:type="dcterms:W3CDTF">2026-05-14T01:57:48Z</dcterms:modified>
</cp:coreProperties>
</file>